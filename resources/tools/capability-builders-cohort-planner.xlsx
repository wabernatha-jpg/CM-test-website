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93b2718198438c/Documents/GitHub/Agents/Website_design/resources/downloads/"/>
    </mc:Choice>
  </mc:AlternateContent>
  <xr:revisionPtr revIDLastSave="0" documentId="8_{EE78AF16-CF3C-405A-86D6-B59F11135CDD}" xr6:coauthVersionLast="47" xr6:coauthVersionMax="47" xr10:uidLastSave="{00000000-0000-0000-0000-000000000000}"/>
  <bookViews>
    <workbookView xWindow="-120" yWindow="-120" windowWidth="29040" windowHeight="15720" xr2:uid="{B1E109A7-1BEC-489F-AA86-916DF48740B0}"/>
  </bookViews>
  <sheets>
    <sheet name="Start Here" sheetId="4" r:id="rId1"/>
    <sheet name="How It Works" sheetId="5" r:id="rId2"/>
    <sheet name="Schedule" sheetId="6" r:id="rId3"/>
    <sheet name="Project Picker" sheetId="7" r:id="rId4"/>
    <sheet name="Team" sheetId="8" r:id="rId5"/>
    <sheet name="Impact Estimate" sheetId="3" r:id="rId6"/>
    <sheet name="Formula Guide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5" i="8" l="1"/>
  <c r="G9" i="8" s="1"/>
  <c r="G6" i="8"/>
  <c r="G7" i="8"/>
  <c r="G8" i="8"/>
  <c r="G10" i="8"/>
  <c r="A7" i="7"/>
  <c r="H7" i="7"/>
  <c r="A8" i="7"/>
  <c r="H8" i="7"/>
  <c r="I8" i="7" s="1"/>
  <c r="J8" i="7" s="1"/>
  <c r="A9" i="7"/>
  <c r="H9" i="7"/>
  <c r="I9" i="7" s="1"/>
  <c r="J9" i="7" s="1"/>
  <c r="A10" i="7"/>
  <c r="H10" i="7"/>
  <c r="A11" i="7"/>
  <c r="H11" i="7"/>
  <c r="A12" i="7"/>
  <c r="H12" i="7"/>
  <c r="A13" i="7"/>
  <c r="H13" i="7"/>
  <c r="I13" i="7"/>
  <c r="J13" i="7" s="1"/>
  <c r="A14" i="7"/>
  <c r="H14" i="7"/>
  <c r="I14" i="7"/>
  <c r="J14" i="7"/>
  <c r="A15" i="7"/>
  <c r="H15" i="7"/>
  <c r="I15" i="7"/>
  <c r="J15" i="7"/>
  <c r="A16" i="7"/>
  <c r="H16" i="7"/>
  <c r="I16" i="7"/>
  <c r="J16" i="7"/>
  <c r="C19" i="7"/>
  <c r="B7" i="6"/>
  <c r="B8" i="6"/>
  <c r="B9" i="6"/>
  <c r="A14" i="6"/>
  <c r="B14" i="6"/>
  <c r="C14" i="6"/>
  <c r="D14" i="6"/>
  <c r="E14" i="6"/>
  <c r="A15" i="6"/>
  <c r="A16" i="6"/>
  <c r="B16" i="6"/>
  <c r="B12" i="3"/>
  <c r="B13" i="3"/>
  <c r="B14" i="3" s="1"/>
  <c r="B15" i="3"/>
  <c r="I10" i="7" l="1"/>
  <c r="J10" i="7" s="1"/>
  <c r="I11" i="7"/>
  <c r="J11" i="7" s="1"/>
  <c r="I12" i="7"/>
  <c r="J12" i="7" s="1"/>
  <c r="C20" i="7"/>
  <c r="I7" i="7"/>
  <c r="A17" i="6"/>
  <c r="A18" i="6"/>
  <c r="A19" i="6"/>
  <c r="B15" i="6"/>
  <c r="C15" i="6"/>
  <c r="D15" i="6"/>
  <c r="E15" i="6"/>
  <c r="C16" i="6"/>
  <c r="D16" i="6"/>
  <c r="E16" i="6"/>
  <c r="B16" i="3"/>
  <c r="B17" i="3"/>
  <c r="C18" i="7" l="1"/>
  <c r="B4" i="3" s="1"/>
  <c r="J7" i="7"/>
  <c r="E17" i="6"/>
  <c r="D17" i="6"/>
  <c r="C17" i="6"/>
  <c r="B17" i="6"/>
  <c r="B10" i="6" s="1"/>
  <c r="B11" i="6" s="1"/>
  <c r="E18" i="6"/>
  <c r="D18" i="6"/>
  <c r="C18" i="6"/>
  <c r="B18" i="6"/>
  <c r="E19" i="6"/>
  <c r="D19" i="6"/>
  <c r="C19" i="6"/>
  <c r="B19" i="6"/>
</calcChain>
</file>

<file path=xl/sharedStrings.xml><?xml version="1.0" encoding="utf-8"?>
<sst xmlns="http://schemas.openxmlformats.org/spreadsheetml/2006/main" count="300" uniqueCount="248">
  <si>
    <t>=B5*B12</t>
  </si>
  <si>
    <t>Requests times days faster.</t>
  </si>
  <si>
    <t>B17</t>
  </si>
  <si>
    <t>Impact Estimate</t>
  </si>
  <si>
    <t>=IF(B6=0,"",B12/B6)</t>
  </si>
  <si>
    <t>Days saved as a share of today's turnaround.</t>
  </si>
  <si>
    <t>B16</t>
  </si>
  <si>
    <t>=IF(B11=0,"",B13/B11)</t>
  </si>
  <si>
    <t>Hours freed divided by paid hours per employee.</t>
  </si>
  <si>
    <t>B15</t>
  </si>
  <si>
    <t>=B13*B10</t>
  </si>
  <si>
    <t>Hours freed times hourly cost.</t>
  </si>
  <si>
    <t>B14</t>
  </si>
  <si>
    <t>=B5*(B8-B9)/60</t>
  </si>
  <si>
    <t>Requests times minutes saved, in hours.</t>
  </si>
  <si>
    <t>B13</t>
  </si>
  <si>
    <t>=B6-B7</t>
  </si>
  <si>
    <t>Turnaround now minus target.</t>
  </si>
  <si>
    <t>B12</t>
  </si>
  <si>
    <t>='Project Picker'!C18</t>
  </si>
  <si>
    <t>The top pick from Project Picker.</t>
  </si>
  <si>
    <t>B4</t>
  </si>
  <si>
    <t>=SUMPRODUCT((D5:D20&lt;&gt;"")/COUNTIF(D5:D20,D5:D20&amp;""))</t>
  </si>
  <si>
    <t>Counts distinct departments. Each department adds up to exactly 1.</t>
  </si>
  <si>
    <t>G10</t>
  </si>
  <si>
    <t>Team</t>
  </si>
  <si>
    <t>=IF(AND(G5&gt;0,G6&gt;0,G7&gt;0),"Good. All three levels are in the room.","Add at least one "&amp;IF(G5=0,"supervisor",IF(G6=0,"manager","individual contributor"))&amp;".")</t>
  </si>
  <si>
    <t>Confirms supervisors, managers, and individual contributors are all represented, and names the missing level if not.</t>
  </si>
  <si>
    <t>G9</t>
  </si>
  <si>
    <t>=COUNTA(A5:A20)</t>
  </si>
  <si>
    <t>Counts names listed.</t>
  </si>
  <si>
    <t>G8</t>
  </si>
  <si>
    <t>=COUNTIF($C$5:$C$20,F5)</t>
  </si>
  <si>
    <t>People at this level.</t>
  </si>
  <si>
    <t>G5:G7</t>
  </si>
  <si>
    <t>=IFERROR(MAX(H7:H16)/C19,"")</t>
  </si>
  <si>
    <t>Top score divided by the highest possible score.</t>
  </si>
  <si>
    <t>C20</t>
  </si>
  <si>
    <t>Project Picker</t>
  </si>
  <si>
    <t>=SUM(C5:G5)*5</t>
  </si>
  <si>
    <t>All weights times the top score of 5.</t>
  </si>
  <si>
    <t>C19</t>
  </si>
  <si>
    <t>=IFERROR(INDEX(B7:B16,MATCH(1,I7:I16,0)),"")</t>
  </si>
  <si>
    <t>The candidate ranked 1.</t>
  </si>
  <si>
    <t>C18</t>
  </si>
  <si>
    <t>Filled to row 16. For more candidates, insert rows above row 16 and copy down.</t>
  </si>
  <si>
    <t>=IF(I7="","",IF(I7&lt;=$B$3,"Pick",""))</t>
  </si>
  <si>
    <t>Marks the top-ranked candidates, as many as the Teams number.</t>
  </si>
  <si>
    <t>J7:J16</t>
  </si>
  <si>
    <t>=IF(H7="","",RANK(H7,$H$7:$H$16)+COUNTIF($H$7:H7,H7)-1)</t>
  </si>
  <si>
    <t>Rank, highest score first. The COUNTIF part breaks ties so no two candidates share a rank.</t>
  </si>
  <si>
    <t>I7:I16</t>
  </si>
  <si>
    <t>=IF(B7="","",SUMPRODUCT(C7:G7,$C$5:$G$5))</t>
  </si>
  <si>
    <t>Each score times its weight, added up.</t>
  </si>
  <si>
    <t>H7:H16</t>
  </si>
  <si>
    <t>=IF(B7="","",ROW()-6)</t>
  </si>
  <si>
    <t>Candidate number.</t>
  </si>
  <si>
    <t>A7:A16</t>
  </si>
  <si>
    <t>Six rows cover both formats. Rows beyond the session count stay blank.</t>
  </si>
  <si>
    <t>=IF(A14="","",IF($B$7=3,INDEX($J$14:$J$19,A14),INDEX($K$14:$K$19,A14)))</t>
  </si>
  <si>
    <t>Picks the between-session team work the same way.</t>
  </si>
  <si>
    <t>E14:E19</t>
  </si>
  <si>
    <t>Schedule</t>
  </si>
  <si>
    <t>=IF(A14="","",IF($B$7=3,INDEX($H$14:$H$19,A14),INDEX($I$14:$I$19,A14)))</t>
  </si>
  <si>
    <t>Picks the agenda for this session from the 3-session or 6-session column.</t>
  </si>
  <si>
    <t>D14:D19</t>
  </si>
  <si>
    <t>=IF(A14="","",$B$8)</t>
  </si>
  <si>
    <t>Hours for this session.</t>
  </si>
  <si>
    <t>C14:C19</t>
  </si>
  <si>
    <t>=IF(A14="","",WORKDAY($B$4+(A14-1)*$B$6*7-1,1))</t>
  </si>
  <si>
    <t>Kickoff plus the weeks between sessions. WORKDAY(date-1,1) moves a weekend date to the next weekday.</t>
  </si>
  <si>
    <t>B14:B19</t>
  </si>
  <si>
    <t>=IF(ROW()-13&lt;=$B$7,ROW()-13,"")</t>
  </si>
  <si>
    <t>Session number, shown only up to the number of sessions.</t>
  </si>
  <si>
    <t>A14:A19</t>
  </si>
  <si>
    <t>=IF(B10="","",ROUND((B10-B4)/7,0))</t>
  </si>
  <si>
    <t>Weeks from kickoff to the final session.</t>
  </si>
  <si>
    <t>B11</t>
  </si>
  <si>
    <t>=IF(COUNT(B14:B19)=0,"",MAX(B14:B19))</t>
  </si>
  <si>
    <t>Date of the last session.</t>
  </si>
  <si>
    <t>B10</t>
  </si>
  <si>
    <t>=B7*B8</t>
  </si>
  <si>
    <t>Check. Should always be 6.</t>
  </si>
  <si>
    <t>B9</t>
  </si>
  <si>
    <t>=6/B7</t>
  </si>
  <si>
    <t>Six live hours split across the sessions.</t>
  </si>
  <si>
    <t>B8</t>
  </si>
  <si>
    <t>=IF(B5="Six 1-hour sessions",6,3)</t>
  </si>
  <si>
    <t>3 or 6 sessions, from the format.</t>
  </si>
  <si>
    <t>B7</t>
  </si>
  <si>
    <t>To extend</t>
  </si>
  <si>
    <t>Formula (first cell)</t>
  </si>
  <si>
    <t>What it calculates</t>
  </si>
  <si>
    <t>Cell(s)</t>
  </si>
  <si>
    <t>Tab</t>
  </si>
  <si>
    <t>Every calculated cell in this workbook, what it does, and how to rebuild or extend it.</t>
  </si>
  <si>
    <t>Formula Guide</t>
  </si>
  <si>
    <t>Student-days of waiting removed per year</t>
  </si>
  <si>
    <t>Improvement in turnaround</t>
  </si>
  <si>
    <t>Full-time equivalents freed</t>
  </si>
  <si>
    <t>Time your staff gets back for students, not a budget cut.</t>
  </si>
  <si>
    <t>Value of staff time freed per year</t>
  </si>
  <si>
    <t>Staff hours freed per year</t>
  </si>
  <si>
    <t>Days faster per request</t>
  </si>
  <si>
    <t>Paid hours per full-time employee per year</t>
  </si>
  <si>
    <t>Wage plus benefits.</t>
  </si>
  <si>
    <t>Loaded hourly staff cost ($)</t>
  </si>
  <si>
    <t>Staff minutes per request after</t>
  </si>
  <si>
    <t>Hands-on time, not waiting time.</t>
  </si>
  <si>
    <t>Staff minutes per request now</t>
  </si>
  <si>
    <t>Target turnaround (days)</t>
  </si>
  <si>
    <t>Median days from request to done.</t>
  </si>
  <si>
    <t>Turnaround now (days)</t>
  </si>
  <si>
    <t>From your system or a month's count times 12.</t>
  </si>
  <si>
    <t>Requests handled per year</t>
  </si>
  <si>
    <t>Project</t>
  </si>
  <si>
    <t>What fixing the top pick is worth. Replace the tan example values with your own.</t>
  </si>
  <si>
    <t>Change Maven LLC  |  mavenshift.co  |  change_maven@outlook.com  |  217-691-6138</t>
  </si>
  <si>
    <t>The example values are made up to show how the tool works. They are not benchmarks.</t>
  </si>
  <si>
    <t>Formula. Don't type here, it updates on its own. The Formula Guide tab lists every one.</t>
  </si>
  <si>
    <t>White cell</t>
  </si>
  <si>
    <t>Your input. Type over the example values.</t>
  </si>
  <si>
    <t>Tan cell</t>
  </si>
  <si>
    <t>Color key</t>
  </si>
  <si>
    <t>Every formula, explained.</t>
  </si>
  <si>
    <t>What fixing the top project is worth.</t>
  </si>
  <si>
    <t>Who is in the cohort, by level.</t>
  </si>
  <si>
    <t>Weighted scoring to choose the first project.</t>
  </si>
  <si>
    <t>Session dates and what happens in each session, from your kickoff date and format.</t>
  </si>
  <si>
    <t>The cohort structure in plain language.</t>
  </si>
  <si>
    <t>How It Works</t>
  </si>
  <si>
    <t>What each tab does</t>
  </si>
  <si>
    <t>On Impact Estimate, enter volumes and times for the top pick to see staff hours freed and days saved for students.</t>
  </si>
  <si>
    <t>Step 5</t>
  </si>
  <si>
    <t>On Team, list who would be in the cohort. It checks that supervisors, managers, and staff are all in the room.</t>
  </si>
  <si>
    <t>Step 4</t>
  </si>
  <si>
    <t>On Project Picker, list the bottlenecks your office deals with and score each one. The sheet ranks them.</t>
  </si>
  <si>
    <t>Step 3</t>
  </si>
  <si>
    <t>On Schedule, enter a kickoff date and pick the format. The session dates and agenda fill in.</t>
  </si>
  <si>
    <t>Step 2</t>
  </si>
  <si>
    <t>Read How It Works. Six hours of live facilitation, your team's own real problem, Green Belt certification at the end.</t>
  </si>
  <si>
    <t>Step 1</t>
  </si>
  <si>
    <t>How to use it</t>
  </si>
  <si>
    <t>How a cohort is structured, and a planner to pick your team's first project and estimate what fixing it is worth.</t>
  </si>
  <si>
    <t>Capability Builders Cohort Planner</t>
  </si>
  <si>
    <t>A finished improvement project, Green Belt certification for the people who complete it, and a team that can run the next one without an outside consultant.</t>
  </si>
  <si>
    <t>What you keep</t>
  </si>
  <si>
    <t>Supervisors, managers, and individual contributors together. Leaders practice breaking big problems into small changes, staff own a real piece of the work.</t>
  </si>
  <si>
    <t>Who's in the room</t>
  </si>
  <si>
    <t>Teams work the project on their own and log progress in Kure, GLSS's certified project platform, with support available.</t>
  </si>
  <si>
    <t>Between sessions</t>
  </si>
  <si>
    <t>DMAIC. Define, Measure, Analyze, Improve, Control. Taught as the team works the real problem.</t>
  </si>
  <si>
    <t>The method</t>
  </si>
  <si>
    <t>Your team picks a real bottleneck in its own office, not a case study from another school.</t>
  </si>
  <si>
    <t>The project</t>
  </si>
  <si>
    <t>6 hours of live facilitation, as three 2-hour sessions or six 1-hour sessions.</t>
  </si>
  <si>
    <t>Live time</t>
  </si>
  <si>
    <t>A facilitated Lean Six Sigma program built around your team's own problem.</t>
  </si>
  <si>
    <t>How the cohort works</t>
  </si>
  <si>
    <t>Agenda text in H:K is editable. The schedule on the left pulls from it.</t>
  </si>
  <si>
    <t>Present results to leadership.</t>
  </si>
  <si>
    <t>Results review and Green Belt certification.</t>
  </si>
  <si>
    <t>Finish the control plan and the owner handoff.</t>
  </si>
  <si>
    <t>Control. Build the control plan so the gain holds.</t>
  </si>
  <si>
    <t>Run the pilot and measure the results.</t>
  </si>
  <si>
    <t>Improve. Choose and pilot the fix.</t>
  </si>
  <si>
    <t>Test the top root causes with data.</t>
  </si>
  <si>
    <t>Hand the control plan to the process owner.</t>
  </si>
  <si>
    <t>Analyze. Find the root causes behind the delay.</t>
  </si>
  <si>
    <t>Control and certification. Lock in the fix, carry it through Control, and complete Green Belt certification.</t>
  </si>
  <si>
    <t>Collect baseline data.</t>
  </si>
  <si>
    <t>Test root causes and pilot the improvement.</t>
  </si>
  <si>
    <t>Measure. Set the baseline and decide how it will be tracked.</t>
  </si>
  <si>
    <t>Analyze and Improve. Review what the team found, work through where it got stuck, then open Analyze and Improve.</t>
  </si>
  <si>
    <t>Write the project charter and problem statement.</t>
  </si>
  <si>
    <t>Map the current process and collect baseline data in Kure.</t>
  </si>
  <si>
    <t>Lean and Six Sigma basics. Choose the project and open Define.</t>
  </si>
  <si>
    <t>Define and Measure. Lean, continuous improvement, and Six Sigma basics. The team picks its real project and opens Define and Measure.</t>
  </si>
  <si>
    <t>6-session team work</t>
  </si>
  <si>
    <t>3-session team work</t>
  </si>
  <si>
    <t>6-session agenda</t>
  </si>
  <si>
    <t>3-session agenda</t>
  </si>
  <si>
    <t>#</t>
  </si>
  <si>
    <t>Team work before the next session</t>
  </si>
  <si>
    <t>What happens live</t>
  </si>
  <si>
    <t>Hours</t>
  </si>
  <si>
    <t>Date</t>
  </si>
  <si>
    <t>Session</t>
  </si>
  <si>
    <t>Program length (weeks)</t>
  </si>
  <si>
    <t>Final session</t>
  </si>
  <si>
    <t>Total live hours</t>
  </si>
  <si>
    <t>Hours per session</t>
  </si>
  <si>
    <t>Number of sessions</t>
  </si>
  <si>
    <t>Three or four weeks works well for the 3-session format, two weeks for the 6-session format.</t>
  </si>
  <si>
    <t>Weeks between sessions</t>
  </si>
  <si>
    <t>Three 2-hour sessions</t>
  </si>
  <si>
    <t>Format</t>
  </si>
  <si>
    <t>Kickoff date</t>
  </si>
  <si>
    <t>Enter a kickoff date and format. Dates land on weekdays.</t>
  </si>
  <si>
    <t>Top pick as share of the highest possible</t>
  </si>
  <si>
    <t>Highest possible score</t>
  </si>
  <si>
    <t>Top pick</t>
  </si>
  <si>
    <t>Course schedule conflicts at registration</t>
  </si>
  <si>
    <t>Incomplete admissions applications aren't followed up</t>
  </si>
  <si>
    <t>Transcript requests take days to process</t>
  </si>
  <si>
    <t>Advising appointment no-shows</t>
  </si>
  <si>
    <t>Transfer credit evaluations sit in a backlog</t>
  </si>
  <si>
    <t>Financial aid verification takes too long</t>
  </si>
  <si>
    <t>Weight (1 to 3)</t>
  </si>
  <si>
    <t>Pick?</t>
  </si>
  <si>
    <t>Rank</t>
  </si>
  <si>
    <t>Weighted score</t>
  </si>
  <si>
    <t>Leadership will back it</t>
  </si>
  <si>
    <t>Fix is within the team's control</t>
  </si>
  <si>
    <t>Data is available</t>
  </si>
  <si>
    <t>Staff time freed</t>
  </si>
  <si>
    <t>Impact on students</t>
  </si>
  <si>
    <t>Candidate problem</t>
  </si>
  <si>
    <t>How many project teams the cohort will run. That many top-ranked projects get marked Pick.</t>
  </si>
  <si>
    <t>Teams</t>
  </si>
  <si>
    <t>Score each candidate 1 (low) to 5 (high) on every criterion. Weights in row 5 say what matters most to you.</t>
  </si>
  <si>
    <t>Departments represented</t>
  </si>
  <si>
    <t>Admissions</t>
  </si>
  <si>
    <t>Supervisor</t>
  </si>
  <si>
    <t>Admissions Operations Lead</t>
  </si>
  <si>
    <t>Team member F</t>
  </si>
  <si>
    <t>Cross-level check</t>
  </si>
  <si>
    <t>Student Accounts</t>
  </si>
  <si>
    <t>Individual contributor</t>
  </si>
  <si>
    <t>Student Accounts Specialist</t>
  </si>
  <si>
    <t>Team member E</t>
  </si>
  <si>
    <t>Team size</t>
  </si>
  <si>
    <t>Registrar</t>
  </si>
  <si>
    <t>Assistant Registrar</t>
  </si>
  <si>
    <t>Team member D</t>
  </si>
  <si>
    <t>Financial Aid</t>
  </si>
  <si>
    <t>Financial Aid Counselor</t>
  </si>
  <si>
    <t>Team member C</t>
  </si>
  <si>
    <t>Manager</t>
  </si>
  <si>
    <t>Team member B</t>
  </si>
  <si>
    <t>Director of Financial Aid</t>
  </si>
  <si>
    <t>Team member A</t>
  </si>
  <si>
    <t>People</t>
  </si>
  <si>
    <t>Level</t>
  </si>
  <si>
    <t>Department</t>
  </si>
  <si>
    <t>Role</t>
  </si>
  <si>
    <t>Name</t>
  </si>
  <si>
    <t>Who's in the cohort. Mix levels on purpose.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</si>
</sst>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\-"/>
    <numFmt numFmtId="165" formatCode="ddd\,\ mmm\ d\,\ yyyy"/>
    <numFmt numFmtId="166" formatCode="mmm\ d\,\ yyyy"/>
  </numFmts>
  <fonts count="9" x14ac:knownFonts="1">
    <font>
      <sz val="11"/>
      <color theme="1"/>
      <name val="Aptos Narrow"/>
      <family val="2"/>
      <scheme val="minor"/>
    </font>
    <font>
      <sz val="10"/>
      <color rgb="FF3F3C35"/>
      <name val="Arial"/>
    </font>
    <font>
      <b/>
      <sz val="10"/>
      <color rgb="FFFFFFFF"/>
      <name val="Arial"/>
    </font>
    <font>
      <i/>
      <sz val="11"/>
      <color rgb="FF6B675E"/>
      <name val="Arial"/>
    </font>
    <font>
      <b/>
      <sz val="18"/>
      <color rgb="FF57534A"/>
      <name val="Arial"/>
    </font>
    <font>
      <b/>
      <sz val="12"/>
      <color rgb="FFE07A34"/>
      <name val="Arial"/>
    </font>
    <font>
      <b/>
      <sz val="10"/>
      <color rgb="FF3F3C35"/>
      <name val="Arial"/>
    </font>
    <font>
      <sz val="10"/>
      <color rgb="FF1F4E9A"/>
      <name val="Arial"/>
    </font>
    <font>
      <b/>
      <sz val="12"/>
      <color rgb="FF57534A"/>
      <name val="Arial"/>
    </font>
  </fonts>
  <fills count="6">
    <fill>
      <patternFill patternType="none"/>
    </fill>
    <fill>
      <patternFill patternType="gray125"/>
    </fill>
    <fill>
      <patternFill patternType="solid">
        <fgColor rgb="FFFAF8F5"/>
      </patternFill>
    </fill>
    <fill>
      <patternFill patternType="solid">
        <fgColor rgb="FF57534A"/>
      </patternFill>
    </fill>
    <fill>
      <patternFill patternType="solid">
        <fgColor rgb="FFFFFFFF"/>
      </patternFill>
    </fill>
    <fill>
      <patternFill patternType="solid">
        <fgColor rgb="FFFBE3CF"/>
      </patternFill>
    </fill>
  </fills>
  <borders count="4">
    <border>
      <left/>
      <right/>
      <top/>
      <bottom/>
      <diagonal/>
    </border>
    <border>
      <left style="thin">
        <color rgb="FFD9D4CB"/>
      </left>
      <right style="thin">
        <color rgb="FFD9D4CB"/>
      </right>
      <top style="thin">
        <color rgb="FFD9D4CB"/>
      </top>
      <bottom style="thin">
        <color rgb="FFD9D4CB"/>
      </bottom>
      <diagonal/>
    </border>
    <border>
      <left/>
      <right style="thin">
        <color rgb="FFD9D4CB"/>
      </right>
      <top style="thin">
        <color rgb="FFD9D4CB"/>
      </top>
      <bottom style="thin">
        <color rgb="FFD9D4CB"/>
      </bottom>
      <diagonal/>
    </border>
    <border>
      <left/>
      <right/>
      <top style="thin">
        <color rgb="FFD9D4CB"/>
      </top>
      <bottom style="thin">
        <color rgb="FFD9D4CB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3" fontId="5" fillId="4" borderId="1" xfId="0" applyNumberFormat="1" applyFont="1" applyFill="1" applyBorder="1" applyAlignment="1">
      <alignment vertical="top" wrapText="1"/>
    </xf>
    <xf numFmtId="0" fontId="6" fillId="0" borderId="0" xfId="0" applyFont="1" applyAlignment="1">
      <alignment vertical="top" wrapText="1"/>
    </xf>
    <xf numFmtId="9" fontId="1" fillId="4" borderId="1" xfId="0" applyNumberFormat="1" applyFont="1" applyFill="1" applyBorder="1" applyAlignment="1">
      <alignment vertical="top" wrapText="1"/>
    </xf>
    <xf numFmtId="2" fontId="1" fillId="4" borderId="1" xfId="0" applyNumberFormat="1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164" fontId="5" fillId="4" borderId="1" xfId="0" applyNumberFormat="1" applyFont="1" applyFill="1" applyBorder="1" applyAlignment="1">
      <alignment vertical="top" wrapText="1"/>
    </xf>
    <xf numFmtId="3" fontId="1" fillId="4" borderId="1" xfId="0" applyNumberFormat="1" applyFont="1" applyFill="1" applyBorder="1" applyAlignment="1">
      <alignment vertical="top" wrapText="1"/>
    </xf>
    <xf numFmtId="1" fontId="1" fillId="4" borderId="1" xfId="0" applyNumberFormat="1" applyFont="1" applyFill="1" applyBorder="1" applyAlignment="1">
      <alignment vertical="top" wrapText="1"/>
    </xf>
    <xf numFmtId="3" fontId="7" fillId="5" borderId="1" xfId="0" applyNumberFormat="1" applyFont="1" applyFill="1" applyBorder="1" applyAlignment="1">
      <alignment vertical="top" wrapText="1"/>
    </xf>
    <xf numFmtId="164" fontId="7" fillId="5" borderId="1" xfId="0" applyNumberFormat="1" applyFont="1" applyFill="1" applyBorder="1" applyAlignment="1">
      <alignment vertical="top" wrapText="1"/>
    </xf>
    <xf numFmtId="1" fontId="7" fillId="5" borderId="1" xfId="0" applyNumberFormat="1" applyFont="1" applyFill="1" applyBorder="1" applyAlignment="1">
      <alignment vertical="top" wrapText="1"/>
    </xf>
    <xf numFmtId="0" fontId="0" fillId="0" borderId="2" xfId="0" applyBorder="1"/>
    <xf numFmtId="0" fontId="6" fillId="4" borderId="1" xfId="0" applyFont="1" applyFill="1" applyBorder="1" applyAlignment="1">
      <alignment vertical="top" wrapText="1"/>
    </xf>
    <xf numFmtId="0" fontId="1" fillId="0" borderId="1" xfId="0" applyFont="1" applyBorder="1"/>
    <xf numFmtId="0" fontId="7" fillId="5" borderId="1" xfId="0" applyFont="1" applyFill="1" applyBorder="1" applyAlignment="1">
      <alignment vertical="top" wrapText="1"/>
    </xf>
    <xf numFmtId="0" fontId="8" fillId="0" borderId="0" xfId="0" applyFont="1"/>
    <xf numFmtId="0" fontId="0" fillId="0" borderId="0" xfId="0"/>
    <xf numFmtId="0" fontId="1" fillId="0" borderId="0" xfId="0" applyFont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165" fontId="1" fillId="4" borderId="1" xfId="0" applyNumberFormat="1" applyFont="1" applyFill="1" applyBorder="1" applyAlignment="1">
      <alignment vertical="top" wrapText="1"/>
    </xf>
    <xf numFmtId="166" fontId="1" fillId="4" borderId="1" xfId="0" applyNumberFormat="1" applyFont="1" applyFill="1" applyBorder="1" applyAlignment="1">
      <alignment vertical="top" wrapText="1"/>
    </xf>
    <xf numFmtId="0" fontId="0" fillId="0" borderId="3" xfId="0" applyBorder="1"/>
    <xf numFmtId="0" fontId="7" fillId="5" borderId="1" xfId="0" applyFont="1" applyFill="1" applyBorder="1" applyAlignment="1">
      <alignment vertical="top" wrapText="1"/>
    </xf>
    <xf numFmtId="166" fontId="7" fillId="5" borderId="1" xfId="0" applyNumberFormat="1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1" fontId="7" fillId="5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top" wrapText="1"/>
    </xf>
  </cellXfs>
  <cellStyles count="1">
    <cellStyle name="Normal" xfId="0" builtinId="0"/>
  </cellStyles>
  <dxfs count="1">
    <dxf>
      <font>
        <b/>
        <color rgb="FF2F7A75"/>
        <name val="Arial"/>
      </font>
      <fill>
        <patternFill patternType="solid">
          <fgColor rgb="FFD5E8D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E1B6B-64F2-4D01-A374-C7D89C3FD0F9}">
  <sheetPr>
    <tabColor rgb="FFE07A34"/>
  </sheetPr>
  <dimension ref="A1:C25"/>
  <sheetViews>
    <sheetView showGridLines="0" tabSelected="1" workbookViewId="0"/>
  </sheetViews>
  <sheetFormatPr defaultRowHeight="15" x14ac:dyDescent="0.25"/>
  <cols>
    <col min="1" max="1" width="3" customWidth="1"/>
    <col min="2" max="2" width="30" customWidth="1"/>
    <col min="3" max="3" width="90" customWidth="1"/>
  </cols>
  <sheetData>
    <row r="1" spans="1:3" ht="23.25" x14ac:dyDescent="0.35">
      <c r="A1" s="5" t="s">
        <v>144</v>
      </c>
    </row>
    <row r="2" spans="1:3" x14ac:dyDescent="0.25">
      <c r="A2" s="4" t="s">
        <v>143</v>
      </c>
    </row>
    <row r="4" spans="1:3" ht="15.75" x14ac:dyDescent="0.25">
      <c r="B4" s="21" t="s">
        <v>142</v>
      </c>
    </row>
    <row r="5" spans="1:3" ht="25.5" x14ac:dyDescent="0.25">
      <c r="B5" s="7" t="s">
        <v>141</v>
      </c>
      <c r="C5" s="10" t="s">
        <v>140</v>
      </c>
    </row>
    <row r="6" spans="1:3" x14ac:dyDescent="0.25">
      <c r="B6" s="7" t="s">
        <v>139</v>
      </c>
      <c r="C6" s="10" t="s">
        <v>138</v>
      </c>
    </row>
    <row r="7" spans="1:3" x14ac:dyDescent="0.25">
      <c r="B7" s="7" t="s">
        <v>137</v>
      </c>
      <c r="C7" s="10" t="s">
        <v>136</v>
      </c>
    </row>
    <row r="8" spans="1:3" ht="25.5" x14ac:dyDescent="0.25">
      <c r="B8" s="7" t="s">
        <v>135</v>
      </c>
      <c r="C8" s="10" t="s">
        <v>134</v>
      </c>
    </row>
    <row r="9" spans="1:3" ht="25.5" x14ac:dyDescent="0.25">
      <c r="B9" s="7" t="s">
        <v>133</v>
      </c>
      <c r="C9" s="10" t="s">
        <v>132</v>
      </c>
    </row>
    <row r="11" spans="1:3" ht="15.75" x14ac:dyDescent="0.25">
      <c r="B11" s="21" t="s">
        <v>131</v>
      </c>
    </row>
    <row r="12" spans="1:3" x14ac:dyDescent="0.25">
      <c r="B12" s="7" t="s">
        <v>130</v>
      </c>
      <c r="C12" s="10" t="s">
        <v>129</v>
      </c>
    </row>
    <row r="13" spans="1:3" x14ac:dyDescent="0.25">
      <c r="B13" s="7" t="s">
        <v>62</v>
      </c>
      <c r="C13" s="10" t="s">
        <v>128</v>
      </c>
    </row>
    <row r="14" spans="1:3" x14ac:dyDescent="0.25">
      <c r="B14" s="7" t="s">
        <v>38</v>
      </c>
      <c r="C14" s="10" t="s">
        <v>127</v>
      </c>
    </row>
    <row r="15" spans="1:3" x14ac:dyDescent="0.25">
      <c r="B15" s="7" t="s">
        <v>25</v>
      </c>
      <c r="C15" s="10" t="s">
        <v>126</v>
      </c>
    </row>
    <row r="16" spans="1:3" x14ac:dyDescent="0.25">
      <c r="B16" s="7" t="s">
        <v>3</v>
      </c>
      <c r="C16" s="10" t="s">
        <v>125</v>
      </c>
    </row>
    <row r="17" spans="2:3" x14ac:dyDescent="0.25">
      <c r="B17" s="7" t="s">
        <v>96</v>
      </c>
      <c r="C17" s="10" t="s">
        <v>124</v>
      </c>
    </row>
    <row r="19" spans="2:3" ht="15.75" x14ac:dyDescent="0.25">
      <c r="B19" s="21" t="s">
        <v>123</v>
      </c>
    </row>
    <row r="20" spans="2:3" x14ac:dyDescent="0.25">
      <c r="B20" s="20" t="s">
        <v>122</v>
      </c>
      <c r="C20" s="10" t="s">
        <v>121</v>
      </c>
    </row>
    <row r="21" spans="2:3" x14ac:dyDescent="0.25">
      <c r="B21" s="19" t="s">
        <v>120</v>
      </c>
      <c r="C21" s="10" t="s">
        <v>119</v>
      </c>
    </row>
    <row r="23" spans="2:3" ht="38.25" x14ac:dyDescent="0.25">
      <c r="B23" s="10" t="s">
        <v>118</v>
      </c>
    </row>
    <row r="25" spans="2:3" x14ac:dyDescent="0.25">
      <c r="B25" s="4" t="s">
        <v>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67D65-2122-4530-A3B7-EA578FD9B130}">
  <sheetPr>
    <tabColor rgb="FFE07A34"/>
  </sheetPr>
  <dimension ref="A1:C12"/>
  <sheetViews>
    <sheetView showGridLines="0" workbookViewId="0"/>
  </sheetViews>
  <sheetFormatPr defaultRowHeight="15" x14ac:dyDescent="0.25"/>
  <cols>
    <col min="1" max="1" width="3" customWidth="1"/>
    <col min="2" max="2" width="26" customWidth="1"/>
    <col min="3" max="3" width="90" customWidth="1"/>
  </cols>
  <sheetData>
    <row r="1" spans="1:3" ht="23.25" x14ac:dyDescent="0.35">
      <c r="A1" s="5" t="s">
        <v>158</v>
      </c>
    </row>
    <row r="2" spans="1:3" x14ac:dyDescent="0.25">
      <c r="A2" s="4" t="s">
        <v>157</v>
      </c>
    </row>
    <row r="4" spans="1:3" ht="32.1" customHeight="1" x14ac:dyDescent="0.25">
      <c r="B4" s="7" t="s">
        <v>156</v>
      </c>
      <c r="C4" s="10" t="s">
        <v>155</v>
      </c>
    </row>
    <row r="5" spans="1:3" ht="32.1" customHeight="1" x14ac:dyDescent="0.25">
      <c r="B5" s="7" t="s">
        <v>154</v>
      </c>
      <c r="C5" s="10" t="s">
        <v>153</v>
      </c>
    </row>
    <row r="6" spans="1:3" ht="32.1" customHeight="1" x14ac:dyDescent="0.25">
      <c r="B6" s="7" t="s">
        <v>152</v>
      </c>
      <c r="C6" s="10" t="s">
        <v>151</v>
      </c>
    </row>
    <row r="7" spans="1:3" ht="32.1" customHeight="1" x14ac:dyDescent="0.25">
      <c r="B7" s="7" t="s">
        <v>150</v>
      </c>
      <c r="C7" s="10" t="s">
        <v>149</v>
      </c>
    </row>
    <row r="8" spans="1:3" ht="32.1" customHeight="1" x14ac:dyDescent="0.25">
      <c r="B8" s="7" t="s">
        <v>148</v>
      </c>
      <c r="C8" s="10" t="s">
        <v>147</v>
      </c>
    </row>
    <row r="9" spans="1:3" ht="32.1" customHeight="1" x14ac:dyDescent="0.25">
      <c r="B9" s="7" t="s">
        <v>146</v>
      </c>
      <c r="C9" s="10" t="s">
        <v>145</v>
      </c>
    </row>
    <row r="12" spans="1:3" x14ac:dyDescent="0.25">
      <c r="B12" s="4" t="s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ADFCA-4504-4057-95F8-BB90213F0D97}">
  <sheetPr>
    <tabColor rgb="FFE07A34"/>
  </sheetPr>
  <dimension ref="A1:K21"/>
  <sheetViews>
    <sheetView showGridLines="0" workbookViewId="0"/>
  </sheetViews>
  <sheetFormatPr defaultRowHeight="15" x14ac:dyDescent="0.25"/>
  <cols>
    <col min="1" max="1" width="30" customWidth="1"/>
    <col min="2" max="2" width="18" customWidth="1"/>
    <col min="3" max="3" width="9" customWidth="1"/>
    <col min="4" max="4" width="58" customWidth="1"/>
    <col min="5" max="5" width="46" customWidth="1"/>
    <col min="6" max="6" width="3" customWidth="1"/>
    <col min="7" max="7" width="6" customWidth="1"/>
    <col min="8" max="9" width="50" customWidth="1"/>
    <col min="10" max="11" width="46" customWidth="1"/>
  </cols>
  <sheetData>
    <row r="1" spans="1:11" ht="23.25" x14ac:dyDescent="0.35">
      <c r="A1" s="5" t="s">
        <v>62</v>
      </c>
    </row>
    <row r="2" spans="1:11" x14ac:dyDescent="0.25">
      <c r="A2" s="4" t="s">
        <v>198</v>
      </c>
    </row>
    <row r="4" spans="1:11" x14ac:dyDescent="0.25">
      <c r="A4" s="7" t="s">
        <v>197</v>
      </c>
      <c r="B4" s="29">
        <v>46406</v>
      </c>
    </row>
    <row r="5" spans="1:11" x14ac:dyDescent="0.25">
      <c r="A5" s="7" t="s">
        <v>196</v>
      </c>
      <c r="B5" s="28" t="s">
        <v>195</v>
      </c>
      <c r="C5" s="27"/>
      <c r="D5" s="17"/>
    </row>
    <row r="6" spans="1:11" ht="25.5" x14ac:dyDescent="0.25">
      <c r="A6" s="7" t="s">
        <v>194</v>
      </c>
      <c r="B6" s="16">
        <v>3</v>
      </c>
      <c r="D6" s="10" t="s">
        <v>193</v>
      </c>
    </row>
    <row r="7" spans="1:11" x14ac:dyDescent="0.25">
      <c r="A7" s="7" t="s">
        <v>192</v>
      </c>
      <c r="B7" s="13">
        <f>IF(B5="Six 1-hour sessions",6,3)</f>
        <v>3</v>
      </c>
    </row>
    <row r="8" spans="1:11" x14ac:dyDescent="0.25">
      <c r="A8" s="7" t="s">
        <v>191</v>
      </c>
      <c r="B8" s="13">
        <f>6/B7</f>
        <v>2</v>
      </c>
    </row>
    <row r="9" spans="1:11" x14ac:dyDescent="0.25">
      <c r="A9" s="7" t="s">
        <v>190</v>
      </c>
      <c r="B9" s="13">
        <f>B7*B8</f>
        <v>6</v>
      </c>
    </row>
    <row r="10" spans="1:11" x14ac:dyDescent="0.25">
      <c r="A10" s="7" t="s">
        <v>189</v>
      </c>
      <c r="B10" s="26">
        <f>IF(COUNT(B14:B19)=0,"",MAX(B14:B19))</f>
        <v>46448</v>
      </c>
    </row>
    <row r="11" spans="1:11" x14ac:dyDescent="0.25">
      <c r="A11" s="7" t="s">
        <v>188</v>
      </c>
      <c r="B11" s="13">
        <f>IF(B10="","",ROUND((B10-B4)/7,0))</f>
        <v>6</v>
      </c>
    </row>
    <row r="13" spans="1:11" ht="56.1" customHeight="1" x14ac:dyDescent="0.25">
      <c r="A13" s="3" t="s">
        <v>187</v>
      </c>
      <c r="B13" s="3" t="s">
        <v>186</v>
      </c>
      <c r="C13" s="3" t="s">
        <v>185</v>
      </c>
      <c r="D13" s="3" t="s">
        <v>184</v>
      </c>
      <c r="E13" s="3" t="s">
        <v>183</v>
      </c>
      <c r="G13" s="3" t="s">
        <v>182</v>
      </c>
      <c r="H13" s="3" t="s">
        <v>181</v>
      </c>
      <c r="I13" s="3" t="s">
        <v>180</v>
      </c>
      <c r="J13" s="3" t="s">
        <v>179</v>
      </c>
      <c r="K13" s="3" t="s">
        <v>178</v>
      </c>
    </row>
    <row r="14" spans="1:11" ht="45.95" customHeight="1" x14ac:dyDescent="0.25">
      <c r="A14" s="24">
        <f>IF(ROW()-13&lt;=$B$7,ROW()-13,"")</f>
        <v>1</v>
      </c>
      <c r="B14" s="25">
        <f>IF(A14="","",WORKDAY($B$4+(A14-1)*$B$6*7-1,1))</f>
        <v>46406</v>
      </c>
      <c r="C14" s="13">
        <f>IF(A14="","",$B$8)</f>
        <v>2</v>
      </c>
      <c r="D14" s="24" t="str">
        <f>IF(A14="","",IF($B$7=3,INDEX($H$14:$H$19,A14),INDEX($I$14:$I$19,A14)))</f>
        <v>Define and Measure. Lean, continuous improvement, and Six Sigma basics. The team picks its real project and opens Define and Measure.</v>
      </c>
      <c r="E14" s="24" t="str">
        <f>IF(A14="","",IF($B$7=3,INDEX($J$14:$J$19,A14),INDEX($K$14:$K$19,A14)))</f>
        <v>Map the current process and collect baseline data in Kure.</v>
      </c>
      <c r="G14" s="20">
        <v>1</v>
      </c>
      <c r="H14" s="20" t="s">
        <v>177</v>
      </c>
      <c r="I14" s="20" t="s">
        <v>176</v>
      </c>
      <c r="J14" s="20" t="s">
        <v>175</v>
      </c>
      <c r="K14" s="20" t="s">
        <v>174</v>
      </c>
    </row>
    <row r="15" spans="1:11" ht="45.95" customHeight="1" x14ac:dyDescent="0.25">
      <c r="A15" s="24">
        <f>IF(ROW()-13&lt;=$B$7,ROW()-13,"")</f>
        <v>2</v>
      </c>
      <c r="B15" s="25">
        <f>IF(A15="","",WORKDAY($B$4+(A15-1)*$B$6*7-1,1))</f>
        <v>46427</v>
      </c>
      <c r="C15" s="13">
        <f>IF(A15="","",$B$8)</f>
        <v>2</v>
      </c>
      <c r="D15" s="24" t="str">
        <f>IF(A15="","",IF($B$7=3,INDEX($H$14:$H$19,A15),INDEX($I$14:$I$19,A15)))</f>
        <v>Analyze and Improve. Review what the team found, work through where it got stuck, then open Analyze and Improve.</v>
      </c>
      <c r="E15" s="24" t="str">
        <f>IF(A15="","",IF($B$7=3,INDEX($J$14:$J$19,A15),INDEX($K$14:$K$19,A15)))</f>
        <v>Test root causes and pilot the improvement.</v>
      </c>
      <c r="G15" s="20">
        <v>2</v>
      </c>
      <c r="H15" s="20" t="s">
        <v>173</v>
      </c>
      <c r="I15" s="20" t="s">
        <v>172</v>
      </c>
      <c r="J15" s="20" t="s">
        <v>171</v>
      </c>
      <c r="K15" s="20" t="s">
        <v>170</v>
      </c>
    </row>
    <row r="16" spans="1:11" ht="45.95" customHeight="1" x14ac:dyDescent="0.25">
      <c r="A16" s="24">
        <f>IF(ROW()-13&lt;=$B$7,ROW()-13,"")</f>
        <v>3</v>
      </c>
      <c r="B16" s="25">
        <f>IF(A16="","",WORKDAY($B$4+(A16-1)*$B$6*7-1,1))</f>
        <v>46448</v>
      </c>
      <c r="C16" s="13">
        <f>IF(A16="","",$B$8)</f>
        <v>2</v>
      </c>
      <c r="D16" s="24" t="str">
        <f>IF(A16="","",IF($B$7=3,INDEX($H$14:$H$19,A16),INDEX($I$14:$I$19,A16)))</f>
        <v>Control and certification. Lock in the fix, carry it through Control, and complete Green Belt certification.</v>
      </c>
      <c r="E16" s="24" t="str">
        <f>IF(A16="","",IF($B$7=3,INDEX($J$14:$J$19,A16),INDEX($K$14:$K$19,A16)))</f>
        <v>Hand the control plan to the process owner.</v>
      </c>
      <c r="G16" s="20">
        <v>3</v>
      </c>
      <c r="H16" s="20" t="s">
        <v>169</v>
      </c>
      <c r="I16" s="20" t="s">
        <v>168</v>
      </c>
      <c r="J16" s="20" t="s">
        <v>167</v>
      </c>
      <c r="K16" s="20" t="s">
        <v>166</v>
      </c>
    </row>
    <row r="17" spans="1:11" ht="45.95" customHeight="1" x14ac:dyDescent="0.25">
      <c r="A17" s="24" t="str">
        <f>IF(ROW()-13&lt;=$B$7,ROW()-13,"")</f>
        <v/>
      </c>
      <c r="B17" s="25" t="str">
        <f>IF(A17="","",WORKDAY($B$4+(A17-1)*$B$6*7-1,1))</f>
        <v/>
      </c>
      <c r="C17" s="13" t="str">
        <f>IF(A17="","",$B$8)</f>
        <v/>
      </c>
      <c r="D17" s="24" t="str">
        <f>IF(A17="","",IF($B$7=3,INDEX($H$14:$H$19,A17),INDEX($I$14:$I$19,A17)))</f>
        <v/>
      </c>
      <c r="E17" s="24" t="str">
        <f>IF(A17="","",IF($B$7=3,INDEX($J$14:$J$19,A17),INDEX($K$14:$K$19,A17)))</f>
        <v/>
      </c>
      <c r="G17" s="20">
        <v>4</v>
      </c>
      <c r="H17" s="20"/>
      <c r="I17" s="20" t="s">
        <v>165</v>
      </c>
      <c r="J17" s="20"/>
      <c r="K17" s="20" t="s">
        <v>164</v>
      </c>
    </row>
    <row r="18" spans="1:11" ht="45.95" customHeight="1" x14ac:dyDescent="0.25">
      <c r="A18" s="24" t="str">
        <f>IF(ROW()-13&lt;=$B$7,ROW()-13,"")</f>
        <v/>
      </c>
      <c r="B18" s="25" t="str">
        <f>IF(A18="","",WORKDAY($B$4+(A18-1)*$B$6*7-1,1))</f>
        <v/>
      </c>
      <c r="C18" s="13" t="str">
        <f>IF(A18="","",$B$8)</f>
        <v/>
      </c>
      <c r="D18" s="24" t="str">
        <f>IF(A18="","",IF($B$7=3,INDEX($H$14:$H$19,A18),INDEX($I$14:$I$19,A18)))</f>
        <v/>
      </c>
      <c r="E18" s="24" t="str">
        <f>IF(A18="","",IF($B$7=3,INDEX($J$14:$J$19,A18),INDEX($K$14:$K$19,A18)))</f>
        <v/>
      </c>
      <c r="G18" s="20">
        <v>5</v>
      </c>
      <c r="H18" s="20"/>
      <c r="I18" s="20" t="s">
        <v>163</v>
      </c>
      <c r="J18" s="20"/>
      <c r="K18" s="20" t="s">
        <v>162</v>
      </c>
    </row>
    <row r="19" spans="1:11" ht="45.95" customHeight="1" x14ac:dyDescent="0.25">
      <c r="A19" s="24" t="str">
        <f>IF(ROW()-13&lt;=$B$7,ROW()-13,"")</f>
        <v/>
      </c>
      <c r="B19" s="25" t="str">
        <f>IF(A19="","",WORKDAY($B$4+(A19-1)*$B$6*7-1,1))</f>
        <v/>
      </c>
      <c r="C19" s="13" t="str">
        <f>IF(A19="","",$B$8)</f>
        <v/>
      </c>
      <c r="D19" s="24" t="str">
        <f>IF(A19="","",IF($B$7=3,INDEX($H$14:$H$19,A19),INDEX($I$14:$I$19,A19)))</f>
        <v/>
      </c>
      <c r="E19" s="24" t="str">
        <f>IF(A19="","",IF($B$7=3,INDEX($J$14:$J$19,A19),INDEX($K$14:$K$19,A19)))</f>
        <v/>
      </c>
      <c r="G19" s="20">
        <v>6</v>
      </c>
      <c r="H19" s="20"/>
      <c r="I19" s="20" t="s">
        <v>161</v>
      </c>
      <c r="J19" s="20"/>
      <c r="K19" s="20" t="s">
        <v>160</v>
      </c>
    </row>
    <row r="21" spans="1:11" x14ac:dyDescent="0.25">
      <c r="H21" s="23" t="s">
        <v>159</v>
      </c>
      <c r="I21" s="22"/>
      <c r="J21" s="22"/>
      <c r="K21" s="22"/>
    </row>
  </sheetData>
  <mergeCells count="2">
    <mergeCell ref="B5:D5"/>
    <mergeCell ref="H21:K21"/>
  </mergeCells>
  <dataValidations count="1">
    <dataValidation type="list" allowBlank="1" sqref="B5" xr:uid="{00000000-0002-0000-0200-000000000000}">
      <formula1>"Three 2-hour sessions,Six 1-hour sessions"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9B9EC-049E-48BC-AD5D-25240662CCE7}">
  <sheetPr>
    <tabColor rgb="FFE07A34"/>
  </sheetPr>
  <dimension ref="A1:J20"/>
  <sheetViews>
    <sheetView showGridLines="0" workbookViewId="0"/>
  </sheetViews>
  <sheetFormatPr defaultRowHeight="15" x14ac:dyDescent="0.25"/>
  <cols>
    <col min="1" max="1" width="5" customWidth="1"/>
    <col min="2" max="2" width="46" customWidth="1"/>
    <col min="3" max="7" width="13" customWidth="1"/>
    <col min="8" max="8" width="12" customWidth="1"/>
    <col min="9" max="9" width="8" customWidth="1"/>
    <col min="10" max="10" width="9" customWidth="1"/>
  </cols>
  <sheetData>
    <row r="1" spans="1:10" ht="23.25" x14ac:dyDescent="0.35">
      <c r="A1" s="5" t="s">
        <v>38</v>
      </c>
    </row>
    <row r="2" spans="1:10" x14ac:dyDescent="0.25">
      <c r="A2" s="4" t="s">
        <v>220</v>
      </c>
    </row>
    <row r="3" spans="1:10" ht="25.5" x14ac:dyDescent="0.25">
      <c r="A3" s="7" t="s">
        <v>219</v>
      </c>
      <c r="B3" s="16">
        <v>1</v>
      </c>
      <c r="C3" s="23" t="s">
        <v>218</v>
      </c>
      <c r="D3" s="22"/>
      <c r="E3" s="22"/>
      <c r="F3" s="22"/>
      <c r="G3" s="22"/>
      <c r="H3" s="22"/>
      <c r="I3" s="22"/>
      <c r="J3" s="22"/>
    </row>
    <row r="4" spans="1:10" ht="56.1" customHeight="1" x14ac:dyDescent="0.25">
      <c r="A4" s="3" t="s">
        <v>182</v>
      </c>
      <c r="B4" s="3" t="s">
        <v>217</v>
      </c>
      <c r="C4" s="3" t="s">
        <v>216</v>
      </c>
      <c r="D4" s="3" t="s">
        <v>215</v>
      </c>
      <c r="E4" s="3" t="s">
        <v>214</v>
      </c>
      <c r="F4" s="3" t="s">
        <v>213</v>
      </c>
      <c r="G4" s="3" t="s">
        <v>212</v>
      </c>
      <c r="H4" s="3" t="s">
        <v>211</v>
      </c>
      <c r="I4" s="3" t="s">
        <v>210</v>
      </c>
      <c r="J4" s="3" t="s">
        <v>209</v>
      </c>
    </row>
    <row r="5" spans="1:10" x14ac:dyDescent="0.25">
      <c r="B5" s="7" t="s">
        <v>208</v>
      </c>
      <c r="C5" s="31">
        <v>3</v>
      </c>
      <c r="D5" s="31">
        <v>2</v>
      </c>
      <c r="E5" s="31">
        <v>2</v>
      </c>
      <c r="F5" s="31">
        <v>3</v>
      </c>
      <c r="G5" s="31">
        <v>2</v>
      </c>
    </row>
    <row r="7" spans="1:10" x14ac:dyDescent="0.25">
      <c r="A7" s="24">
        <f>IF(B7="","",ROW()-6)</f>
        <v>1</v>
      </c>
      <c r="B7" s="20" t="s">
        <v>207</v>
      </c>
      <c r="C7" s="31">
        <v>5</v>
      </c>
      <c r="D7" s="31">
        <v>4</v>
      </c>
      <c r="E7" s="31">
        <v>4</v>
      </c>
      <c r="F7" s="31">
        <v>4</v>
      </c>
      <c r="G7" s="31">
        <v>4</v>
      </c>
      <c r="H7" s="13">
        <f>IF(B7="","",SUMPRODUCT(C7:G7,$C$5:$G$5))</f>
        <v>51</v>
      </c>
      <c r="I7" s="13">
        <f>IF(H7="","",RANK(H7,$H$7:$H$16)+COUNTIF($H$7:H7,H7)-1)</f>
        <v>1</v>
      </c>
      <c r="J7" s="24" t="str">
        <f>IF(I7="","",IF(I7&lt;=$B$3,"Pick",""))</f>
        <v>Pick</v>
      </c>
    </row>
    <row r="8" spans="1:10" x14ac:dyDescent="0.25">
      <c r="A8" s="24">
        <f>IF(B8="","",ROW()-6)</f>
        <v>2</v>
      </c>
      <c r="B8" s="20" t="s">
        <v>206</v>
      </c>
      <c r="C8" s="31">
        <v>4</v>
      </c>
      <c r="D8" s="31">
        <v>4</v>
      </c>
      <c r="E8" s="31">
        <v>3</v>
      </c>
      <c r="F8" s="31">
        <v>3</v>
      </c>
      <c r="G8" s="31">
        <v>3</v>
      </c>
      <c r="H8" s="13">
        <f>IF(B8="","",SUMPRODUCT(C8:G8,$C$5:$G$5))</f>
        <v>41</v>
      </c>
      <c r="I8" s="13">
        <f>IF(H8="","",RANK(H8,$H$7:$H$16)+COUNTIF($H$7:H8,H8)-1)</f>
        <v>4</v>
      </c>
      <c r="J8" s="24" t="str">
        <f>IF(I8="","",IF(I8&lt;=$B$3,"Pick",""))</f>
        <v/>
      </c>
    </row>
    <row r="9" spans="1:10" x14ac:dyDescent="0.25">
      <c r="A9" s="24">
        <f>IF(B9="","",ROW()-6)</f>
        <v>3</v>
      </c>
      <c r="B9" s="20" t="s">
        <v>205</v>
      </c>
      <c r="C9" s="31">
        <v>3</v>
      </c>
      <c r="D9" s="31">
        <v>3</v>
      </c>
      <c r="E9" s="31">
        <v>4</v>
      </c>
      <c r="F9" s="31">
        <v>3</v>
      </c>
      <c r="G9" s="31">
        <v>3</v>
      </c>
      <c r="H9" s="13">
        <f>IF(B9="","",SUMPRODUCT(C9:G9,$C$5:$G$5))</f>
        <v>38</v>
      </c>
      <c r="I9" s="13">
        <f>IF(H9="","",RANK(H9,$H$7:$H$16)+COUNTIF($H$7:H9,H9)-1)</f>
        <v>5</v>
      </c>
      <c r="J9" s="24" t="str">
        <f>IF(I9="","",IF(I9&lt;=$B$3,"Pick",""))</f>
        <v/>
      </c>
    </row>
    <row r="10" spans="1:10" x14ac:dyDescent="0.25">
      <c r="A10" s="24">
        <f>IF(B10="","",ROW()-6)</f>
        <v>4</v>
      </c>
      <c r="B10" s="20" t="s">
        <v>204</v>
      </c>
      <c r="C10" s="31">
        <v>3</v>
      </c>
      <c r="D10" s="31">
        <v>3</v>
      </c>
      <c r="E10" s="31">
        <v>4</v>
      </c>
      <c r="F10" s="31">
        <v>5</v>
      </c>
      <c r="G10" s="31">
        <v>3</v>
      </c>
      <c r="H10" s="13">
        <f>IF(B10="","",SUMPRODUCT(C10:G10,$C$5:$G$5))</f>
        <v>44</v>
      </c>
      <c r="I10" s="13">
        <f>IF(H10="","",RANK(H10,$H$7:$H$16)+COUNTIF($H$7:H10,H10)-1)</f>
        <v>3</v>
      </c>
      <c r="J10" s="24" t="str">
        <f>IF(I10="","",IF(I10&lt;=$B$3,"Pick",""))</f>
        <v/>
      </c>
    </row>
    <row r="11" spans="1:10" ht="25.5" x14ac:dyDescent="0.25">
      <c r="A11" s="24">
        <f>IF(B11="","",ROW()-6)</f>
        <v>5</v>
      </c>
      <c r="B11" s="20" t="s">
        <v>203</v>
      </c>
      <c r="C11" s="31">
        <v>5</v>
      </c>
      <c r="D11" s="31">
        <v>2</v>
      </c>
      <c r="E11" s="31">
        <v>3</v>
      </c>
      <c r="F11" s="31">
        <v>4</v>
      </c>
      <c r="G11" s="31">
        <v>5</v>
      </c>
      <c r="H11" s="13">
        <f>IF(B11="","",SUMPRODUCT(C11:G11,$C$5:$G$5))</f>
        <v>47</v>
      </c>
      <c r="I11" s="13">
        <f>IF(H11="","",RANK(H11,$H$7:$H$16)+COUNTIF($H$7:H11,H11)-1)</f>
        <v>2</v>
      </c>
      <c r="J11" s="24" t="str">
        <f>IF(I11="","",IF(I11&lt;=$B$3,"Pick",""))</f>
        <v/>
      </c>
    </row>
    <row r="12" spans="1:10" x14ac:dyDescent="0.25">
      <c r="A12" s="24">
        <f>IF(B12="","",ROW()-6)</f>
        <v>6</v>
      </c>
      <c r="B12" s="20" t="s">
        <v>202</v>
      </c>
      <c r="C12" s="31">
        <v>4</v>
      </c>
      <c r="D12" s="31">
        <v>2</v>
      </c>
      <c r="E12" s="31">
        <v>3</v>
      </c>
      <c r="F12" s="31">
        <v>2</v>
      </c>
      <c r="G12" s="31">
        <v>3</v>
      </c>
      <c r="H12" s="13">
        <f>IF(B12="","",SUMPRODUCT(C12:G12,$C$5:$G$5))</f>
        <v>34</v>
      </c>
      <c r="I12" s="13">
        <f>IF(H12="","",RANK(H12,$H$7:$H$16)+COUNTIF($H$7:H12,H12)-1)</f>
        <v>6</v>
      </c>
      <c r="J12" s="24" t="str">
        <f>IF(I12="","",IF(I12&lt;=$B$3,"Pick",""))</f>
        <v/>
      </c>
    </row>
    <row r="13" spans="1:10" x14ac:dyDescent="0.25">
      <c r="A13" s="24" t="str">
        <f>IF(B13="","",ROW()-6)</f>
        <v/>
      </c>
      <c r="B13" s="20"/>
      <c r="C13" s="31"/>
      <c r="D13" s="31"/>
      <c r="E13" s="31"/>
      <c r="F13" s="31"/>
      <c r="G13" s="31"/>
      <c r="H13" s="13" t="str">
        <f>IF(B13="","",SUMPRODUCT(C13:G13,$C$5:$G$5))</f>
        <v/>
      </c>
      <c r="I13" s="13" t="str">
        <f>IF(H13="","",RANK(H13,$H$7:$H$16)+COUNTIF($H$7:H13,H13)-1)</f>
        <v/>
      </c>
      <c r="J13" s="24" t="str">
        <f>IF(I13="","",IF(I13&lt;=$B$3,"Pick",""))</f>
        <v/>
      </c>
    </row>
    <row r="14" spans="1:10" x14ac:dyDescent="0.25">
      <c r="A14" s="24" t="str">
        <f>IF(B14="","",ROW()-6)</f>
        <v/>
      </c>
      <c r="B14" s="20"/>
      <c r="C14" s="31"/>
      <c r="D14" s="31"/>
      <c r="E14" s="31"/>
      <c r="F14" s="31"/>
      <c r="G14" s="31"/>
      <c r="H14" s="13" t="str">
        <f>IF(B14="","",SUMPRODUCT(C14:G14,$C$5:$G$5))</f>
        <v/>
      </c>
      <c r="I14" s="13" t="str">
        <f>IF(H14="","",RANK(H14,$H$7:$H$16)+COUNTIF($H$7:H14,H14)-1)</f>
        <v/>
      </c>
      <c r="J14" s="24" t="str">
        <f>IF(I14="","",IF(I14&lt;=$B$3,"Pick",""))</f>
        <v/>
      </c>
    </row>
    <row r="15" spans="1:10" x14ac:dyDescent="0.25">
      <c r="A15" s="24" t="str">
        <f>IF(B15="","",ROW()-6)</f>
        <v/>
      </c>
      <c r="B15" s="20"/>
      <c r="C15" s="31"/>
      <c r="D15" s="31"/>
      <c r="E15" s="31"/>
      <c r="F15" s="31"/>
      <c r="G15" s="31"/>
      <c r="H15" s="13" t="str">
        <f>IF(B15="","",SUMPRODUCT(C15:G15,$C$5:$G$5))</f>
        <v/>
      </c>
      <c r="I15" s="13" t="str">
        <f>IF(H15="","",RANK(H15,$H$7:$H$16)+COUNTIF($H$7:H15,H15)-1)</f>
        <v/>
      </c>
      <c r="J15" s="24" t="str">
        <f>IF(I15="","",IF(I15&lt;=$B$3,"Pick",""))</f>
        <v/>
      </c>
    </row>
    <row r="16" spans="1:10" x14ac:dyDescent="0.25">
      <c r="A16" s="24" t="str">
        <f>IF(B16="","",ROW()-6)</f>
        <v/>
      </c>
      <c r="B16" s="20"/>
      <c r="C16" s="31"/>
      <c r="D16" s="31"/>
      <c r="E16" s="31"/>
      <c r="F16" s="31"/>
      <c r="G16" s="31"/>
      <c r="H16" s="13" t="str">
        <f>IF(B16="","",SUMPRODUCT(C16:G16,$C$5:$G$5))</f>
        <v/>
      </c>
      <c r="I16" s="13" t="str">
        <f>IF(H16="","",RANK(H16,$H$7:$H$16)+COUNTIF($H$7:H16,H16)-1)</f>
        <v/>
      </c>
      <c r="J16" s="24" t="str">
        <f>IF(I16="","",IF(I16&lt;=$B$3,"Pick",""))</f>
        <v/>
      </c>
    </row>
    <row r="18" spans="2:10" x14ac:dyDescent="0.25">
      <c r="B18" s="7" t="s">
        <v>201</v>
      </c>
      <c r="C18" s="30" t="str">
        <f>IFERROR(INDEX(B7:B16,MATCH(1,I7:I16,0)),"")</f>
        <v>Financial aid verification takes too long</v>
      </c>
      <c r="D18" s="27"/>
      <c r="E18" s="27"/>
      <c r="F18" s="27"/>
      <c r="G18" s="27"/>
      <c r="H18" s="27"/>
      <c r="I18" s="27"/>
      <c r="J18" s="17"/>
    </row>
    <row r="19" spans="2:10" x14ac:dyDescent="0.25">
      <c r="B19" s="7" t="s">
        <v>200</v>
      </c>
      <c r="C19" s="13">
        <f>SUM(C5:G5)*5</f>
        <v>60</v>
      </c>
    </row>
    <row r="20" spans="2:10" x14ac:dyDescent="0.25">
      <c r="B20" s="7" t="s">
        <v>199</v>
      </c>
      <c r="C20" s="8">
        <f>IFERROR(MAX(H7:H16)/C19,"")</f>
        <v>0.85</v>
      </c>
    </row>
  </sheetData>
  <mergeCells count="2">
    <mergeCell ref="C3:J3"/>
    <mergeCell ref="C18:J18"/>
  </mergeCells>
  <conditionalFormatting sqref="J7:J16">
    <cfRule type="cellIs" dxfId="0" priority="1" operator="equal">
      <formula>"Pick"</formula>
    </cfRule>
  </conditionalFormatting>
  <dataValidations count="2">
    <dataValidation type="whole" allowBlank="1" showErrorMessage="1" error="Enter a whole number from 1 to 3." sqref="C5:G5" xr:uid="{00000000-0002-0000-0300-000001000000}">
      <formula1>1</formula1>
      <formula2>3</formula2>
    </dataValidation>
    <dataValidation type="whole" allowBlank="1" showErrorMessage="1" error="Enter a whole number from 1 to 5." sqref="C7:G16" xr:uid="{00000000-0002-0000-0300-000000000000}">
      <formula1>1</formula1>
      <formula2>5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F5402-80D7-4FDA-953C-9AF42398D0D1}">
  <sheetPr>
    <tabColor rgb="FFE07A34"/>
  </sheetPr>
  <dimension ref="A1:G20"/>
  <sheetViews>
    <sheetView showGridLines="0" workbookViewId="0"/>
  </sheetViews>
  <sheetFormatPr defaultRowHeight="15" x14ac:dyDescent="0.25"/>
  <cols>
    <col min="1" max="1" width="26" customWidth="1"/>
    <col min="2" max="2" width="34" customWidth="1"/>
    <col min="3" max="3" width="24" customWidth="1"/>
    <col min="4" max="4" width="26" customWidth="1"/>
    <col min="6" max="6" width="24" customWidth="1"/>
    <col min="7" max="7" width="44" customWidth="1"/>
  </cols>
  <sheetData>
    <row r="1" spans="1:7" ht="23.25" x14ac:dyDescent="0.35">
      <c r="A1" s="5" t="s">
        <v>25</v>
      </c>
    </row>
    <row r="2" spans="1:7" x14ac:dyDescent="0.25">
      <c r="A2" s="4" t="s">
        <v>247</v>
      </c>
    </row>
    <row r="4" spans="1:7" ht="56.1" customHeight="1" x14ac:dyDescent="0.25">
      <c r="A4" s="3" t="s">
        <v>246</v>
      </c>
      <c r="B4" s="3" t="s">
        <v>245</v>
      </c>
      <c r="C4" s="3" t="s">
        <v>243</v>
      </c>
      <c r="D4" s="3" t="s">
        <v>244</v>
      </c>
      <c r="F4" s="7" t="s">
        <v>243</v>
      </c>
      <c r="G4" s="7" t="s">
        <v>242</v>
      </c>
    </row>
    <row r="5" spans="1:7" x14ac:dyDescent="0.25">
      <c r="A5" s="20" t="s">
        <v>241</v>
      </c>
      <c r="B5" s="20" t="s">
        <v>240</v>
      </c>
      <c r="C5" s="20" t="s">
        <v>238</v>
      </c>
      <c r="D5" s="20" t="s">
        <v>235</v>
      </c>
      <c r="F5" s="10" t="s">
        <v>223</v>
      </c>
      <c r="G5" s="13">
        <f>COUNTIF($C$5:$C$20,F5)</f>
        <v>2</v>
      </c>
    </row>
    <row r="6" spans="1:7" x14ac:dyDescent="0.25">
      <c r="A6" s="20" t="s">
        <v>239</v>
      </c>
      <c r="B6" s="20" t="s">
        <v>236</v>
      </c>
      <c r="C6" s="20" t="s">
        <v>228</v>
      </c>
      <c r="D6" s="20" t="s">
        <v>235</v>
      </c>
      <c r="F6" s="10" t="s">
        <v>238</v>
      </c>
      <c r="G6" s="13">
        <f>COUNTIF($C$5:$C$20,F6)</f>
        <v>1</v>
      </c>
    </row>
    <row r="7" spans="1:7" x14ac:dyDescent="0.25">
      <c r="A7" s="20" t="s">
        <v>237</v>
      </c>
      <c r="B7" s="20" t="s">
        <v>236</v>
      </c>
      <c r="C7" s="20" t="s">
        <v>228</v>
      </c>
      <c r="D7" s="20" t="s">
        <v>235</v>
      </c>
      <c r="F7" s="10" t="s">
        <v>228</v>
      </c>
      <c r="G7" s="13">
        <f>COUNTIF($C$5:$C$20,F7)</f>
        <v>3</v>
      </c>
    </row>
    <row r="8" spans="1:7" x14ac:dyDescent="0.25">
      <c r="A8" s="20" t="s">
        <v>234</v>
      </c>
      <c r="B8" s="20" t="s">
        <v>233</v>
      </c>
      <c r="C8" s="20" t="s">
        <v>223</v>
      </c>
      <c r="D8" s="20" t="s">
        <v>232</v>
      </c>
      <c r="F8" s="7" t="s">
        <v>231</v>
      </c>
      <c r="G8" s="13">
        <f>COUNTA(A5:A20)</f>
        <v>6</v>
      </c>
    </row>
    <row r="9" spans="1:7" x14ac:dyDescent="0.25">
      <c r="A9" s="20" t="s">
        <v>230</v>
      </c>
      <c r="B9" s="20" t="s">
        <v>229</v>
      </c>
      <c r="C9" s="20" t="s">
        <v>228</v>
      </c>
      <c r="D9" s="20" t="s">
        <v>227</v>
      </c>
      <c r="F9" s="7" t="s">
        <v>226</v>
      </c>
      <c r="G9" s="32" t="str">
        <f>IF(AND(G5&gt;0,G6&gt;0,G7&gt;0),"Good. All three levels are in the room.","Add at least one "&amp;IF(G5=0,"supervisor",IF(G6=0,"manager","individual contributor"))&amp;".")</f>
        <v>Good. All three levels are in the room.</v>
      </c>
    </row>
    <row r="10" spans="1:7" ht="25.5" x14ac:dyDescent="0.25">
      <c r="A10" s="20" t="s">
        <v>225</v>
      </c>
      <c r="B10" s="20" t="s">
        <v>224</v>
      </c>
      <c r="C10" s="20" t="s">
        <v>223</v>
      </c>
      <c r="D10" s="20" t="s">
        <v>222</v>
      </c>
      <c r="F10" s="7" t="s">
        <v>221</v>
      </c>
      <c r="G10" s="13">
        <f>SUMPRODUCT((D5:D20&lt;&gt;"")/COUNTIF(D5:D20,D5:D20&amp;""))</f>
        <v>4</v>
      </c>
    </row>
    <row r="11" spans="1:7" x14ac:dyDescent="0.25">
      <c r="A11" s="20"/>
      <c r="B11" s="20"/>
      <c r="C11" s="20"/>
      <c r="D11" s="20"/>
    </row>
    <row r="12" spans="1:7" x14ac:dyDescent="0.25">
      <c r="A12" s="20"/>
      <c r="B12" s="20"/>
      <c r="C12" s="20"/>
      <c r="D12" s="20"/>
    </row>
    <row r="13" spans="1:7" x14ac:dyDescent="0.25">
      <c r="A13" s="20"/>
      <c r="B13" s="20"/>
      <c r="C13" s="20"/>
      <c r="D13" s="20"/>
    </row>
    <row r="14" spans="1:7" x14ac:dyDescent="0.25">
      <c r="A14" s="20"/>
      <c r="B14" s="20"/>
      <c r="C14" s="20"/>
      <c r="D14" s="20"/>
    </row>
    <row r="15" spans="1:7" x14ac:dyDescent="0.25">
      <c r="A15" s="20"/>
      <c r="B15" s="20"/>
      <c r="C15" s="20"/>
      <c r="D15" s="20"/>
    </row>
    <row r="16" spans="1:7" x14ac:dyDescent="0.25">
      <c r="A16" s="20"/>
      <c r="B16" s="20"/>
      <c r="C16" s="20"/>
      <c r="D16" s="20"/>
    </row>
    <row r="17" spans="1:4" x14ac:dyDescent="0.25">
      <c r="A17" s="20"/>
      <c r="B17" s="20"/>
      <c r="C17" s="20"/>
      <c r="D17" s="20"/>
    </row>
    <row r="18" spans="1:4" x14ac:dyDescent="0.25">
      <c r="A18" s="20"/>
      <c r="B18" s="20"/>
      <c r="C18" s="20"/>
      <c r="D18" s="20"/>
    </row>
    <row r="19" spans="1:4" x14ac:dyDescent="0.25">
      <c r="A19" s="20"/>
      <c r="B19" s="20"/>
      <c r="C19" s="20"/>
      <c r="D19" s="20"/>
    </row>
    <row r="20" spans="1:4" x14ac:dyDescent="0.25">
      <c r="A20" s="20"/>
      <c r="B20" s="20"/>
      <c r="C20" s="20"/>
      <c r="D20" s="20"/>
    </row>
  </sheetData>
  <dataValidations count="1">
    <dataValidation type="list" allowBlank="1" sqref="C5:C20" xr:uid="{00000000-0002-0000-0400-000000000000}">
      <formula1>"Supervisor,Manager,Individual contributor"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E85B8-209B-4AEE-9529-5C4F005C8359}">
  <sheetPr>
    <tabColor rgb="FFE07A34"/>
  </sheetPr>
  <dimension ref="A1:C17"/>
  <sheetViews>
    <sheetView showGridLines="0" workbookViewId="0"/>
  </sheetViews>
  <sheetFormatPr defaultRowHeight="15" x14ac:dyDescent="0.25"/>
  <cols>
    <col min="1" max="1" width="46" customWidth="1"/>
    <col min="2" max="2" width="20" customWidth="1"/>
    <col min="3" max="3" width="54" customWidth="1"/>
  </cols>
  <sheetData>
    <row r="1" spans="1:3" ht="23.25" x14ac:dyDescent="0.35">
      <c r="A1" s="5" t="s">
        <v>3</v>
      </c>
    </row>
    <row r="2" spans="1:3" x14ac:dyDescent="0.25">
      <c r="A2" s="4" t="s">
        <v>116</v>
      </c>
    </row>
    <row r="4" spans="1:3" x14ac:dyDescent="0.25">
      <c r="A4" s="7" t="s">
        <v>115</v>
      </c>
      <c r="B4" s="18" t="str">
        <f>'Project Picker'!C18</f>
        <v>Financial aid verification takes too long</v>
      </c>
      <c r="C4" s="17"/>
    </row>
    <row r="5" spans="1:3" x14ac:dyDescent="0.25">
      <c r="A5" s="10" t="s">
        <v>114</v>
      </c>
      <c r="B5" s="14">
        <v>2400</v>
      </c>
      <c r="C5" s="10" t="s">
        <v>113</v>
      </c>
    </row>
    <row r="6" spans="1:3" x14ac:dyDescent="0.25">
      <c r="A6" s="10" t="s">
        <v>112</v>
      </c>
      <c r="B6" s="16">
        <v>14</v>
      </c>
      <c r="C6" s="10" t="s">
        <v>111</v>
      </c>
    </row>
    <row r="7" spans="1:3" x14ac:dyDescent="0.25">
      <c r="A7" s="10" t="s">
        <v>110</v>
      </c>
      <c r="B7" s="16">
        <v>5</v>
      </c>
      <c r="C7" s="10"/>
    </row>
    <row r="8" spans="1:3" x14ac:dyDescent="0.25">
      <c r="A8" s="10" t="s">
        <v>109</v>
      </c>
      <c r="B8" s="16">
        <v>40</v>
      </c>
      <c r="C8" s="10" t="s">
        <v>108</v>
      </c>
    </row>
    <row r="9" spans="1:3" x14ac:dyDescent="0.25">
      <c r="A9" s="10" t="s">
        <v>107</v>
      </c>
      <c r="B9" s="16">
        <v>25</v>
      </c>
      <c r="C9" s="10"/>
    </row>
    <row r="10" spans="1:3" x14ac:dyDescent="0.25">
      <c r="A10" s="10" t="s">
        <v>106</v>
      </c>
      <c r="B10" s="15">
        <v>38</v>
      </c>
      <c r="C10" s="10" t="s">
        <v>105</v>
      </c>
    </row>
    <row r="11" spans="1:3" x14ac:dyDescent="0.25">
      <c r="A11" s="10" t="s">
        <v>104</v>
      </c>
      <c r="B11" s="14">
        <v>2080</v>
      </c>
      <c r="C11" s="10"/>
    </row>
    <row r="12" spans="1:3" x14ac:dyDescent="0.25">
      <c r="A12" s="7" t="s">
        <v>103</v>
      </c>
      <c r="B12" s="13">
        <f>B6-B7</f>
        <v>9</v>
      </c>
    </row>
    <row r="13" spans="1:3" x14ac:dyDescent="0.25">
      <c r="A13" s="7" t="s">
        <v>102</v>
      </c>
      <c r="B13" s="12">
        <f>B5*(B8-B9)/60</f>
        <v>600</v>
      </c>
    </row>
    <row r="14" spans="1:3" ht="15.75" x14ac:dyDescent="0.25">
      <c r="A14" s="7" t="s">
        <v>101</v>
      </c>
      <c r="B14" s="11">
        <f>B13*B10</f>
        <v>22800</v>
      </c>
      <c r="C14" s="10" t="s">
        <v>100</v>
      </c>
    </row>
    <row r="15" spans="1:3" x14ac:dyDescent="0.25">
      <c r="A15" s="7" t="s">
        <v>99</v>
      </c>
      <c r="B15" s="9">
        <f>IF(B11=0,"",B13/B11)</f>
        <v>0.28846153846153844</v>
      </c>
    </row>
    <row r="16" spans="1:3" x14ac:dyDescent="0.25">
      <c r="A16" s="7" t="s">
        <v>98</v>
      </c>
      <c r="B16" s="8">
        <f>IF(B6=0,"",B12/B6)</f>
        <v>0.6428571428571429</v>
      </c>
    </row>
    <row r="17" spans="1:2" ht="15.75" x14ac:dyDescent="0.25">
      <c r="A17" s="7" t="s">
        <v>97</v>
      </c>
      <c r="B17" s="6">
        <f>B5*B12</f>
        <v>21600</v>
      </c>
    </row>
  </sheetData>
  <mergeCells count="1">
    <mergeCell ref="B4:C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40E27-C696-41A9-A01B-7F40E2405A8C}">
  <sheetPr>
    <tabColor rgb="FFE07A34"/>
  </sheetPr>
  <dimension ref="A1:E32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16" customWidth="1"/>
    <col min="2" max="2" width="14" customWidth="1"/>
    <col min="3" max="3" width="44" customWidth="1"/>
    <col min="4" max="4" width="70" customWidth="1"/>
    <col min="5" max="5" width="40" customWidth="1"/>
  </cols>
  <sheetData>
    <row r="1" spans="1:5" ht="23.25" x14ac:dyDescent="0.35">
      <c r="A1" s="5" t="s">
        <v>96</v>
      </c>
    </row>
    <row r="2" spans="1:5" x14ac:dyDescent="0.25">
      <c r="A2" s="4" t="s">
        <v>95</v>
      </c>
    </row>
    <row r="4" spans="1:5" ht="56.1" customHeight="1" x14ac:dyDescent="0.25">
      <c r="A4" s="3" t="s">
        <v>94</v>
      </c>
      <c r="B4" s="3" t="s">
        <v>93</v>
      </c>
      <c r="C4" s="3" t="s">
        <v>92</v>
      </c>
      <c r="D4" s="3" t="s">
        <v>91</v>
      </c>
      <c r="E4" s="3" t="s">
        <v>90</v>
      </c>
    </row>
    <row r="5" spans="1:5" x14ac:dyDescent="0.25">
      <c r="A5" s="2" t="s">
        <v>62</v>
      </c>
      <c r="B5" s="2" t="s">
        <v>89</v>
      </c>
      <c r="C5" s="2" t="s">
        <v>88</v>
      </c>
      <c r="D5" s="2" t="s">
        <v>87</v>
      </c>
      <c r="E5" s="2"/>
    </row>
    <row r="6" spans="1:5" x14ac:dyDescent="0.25">
      <c r="A6" s="1" t="s">
        <v>62</v>
      </c>
      <c r="B6" s="1" t="s">
        <v>86</v>
      </c>
      <c r="C6" s="1" t="s">
        <v>85</v>
      </c>
      <c r="D6" s="1" t="s">
        <v>84</v>
      </c>
      <c r="E6" s="1"/>
    </row>
    <row r="7" spans="1:5" x14ac:dyDescent="0.25">
      <c r="A7" s="2" t="s">
        <v>62</v>
      </c>
      <c r="B7" s="2" t="s">
        <v>83</v>
      </c>
      <c r="C7" s="2" t="s">
        <v>82</v>
      </c>
      <c r="D7" s="2" t="s">
        <v>81</v>
      </c>
      <c r="E7" s="2"/>
    </row>
    <row r="8" spans="1:5" x14ac:dyDescent="0.25">
      <c r="A8" s="1" t="s">
        <v>62</v>
      </c>
      <c r="B8" s="1" t="s">
        <v>80</v>
      </c>
      <c r="C8" s="1" t="s">
        <v>79</v>
      </c>
      <c r="D8" s="1" t="s">
        <v>78</v>
      </c>
      <c r="E8" s="1"/>
    </row>
    <row r="9" spans="1:5" x14ac:dyDescent="0.25">
      <c r="A9" s="2" t="s">
        <v>62</v>
      </c>
      <c r="B9" s="2" t="s">
        <v>77</v>
      </c>
      <c r="C9" s="2" t="s">
        <v>76</v>
      </c>
      <c r="D9" s="2" t="s">
        <v>75</v>
      </c>
      <c r="E9" s="2"/>
    </row>
    <row r="10" spans="1:5" ht="25.5" x14ac:dyDescent="0.25">
      <c r="A10" s="1" t="s">
        <v>62</v>
      </c>
      <c r="B10" s="1" t="s">
        <v>74</v>
      </c>
      <c r="C10" s="1" t="s">
        <v>73</v>
      </c>
      <c r="D10" s="1" t="s">
        <v>72</v>
      </c>
      <c r="E10" s="1" t="s">
        <v>58</v>
      </c>
    </row>
    <row r="11" spans="1:5" ht="38.25" x14ac:dyDescent="0.25">
      <c r="A11" s="2" t="s">
        <v>62</v>
      </c>
      <c r="B11" s="2" t="s">
        <v>71</v>
      </c>
      <c r="C11" s="2" t="s">
        <v>70</v>
      </c>
      <c r="D11" s="2" t="s">
        <v>69</v>
      </c>
      <c r="E11" s="2" t="s">
        <v>58</v>
      </c>
    </row>
    <row r="12" spans="1:5" ht="25.5" x14ac:dyDescent="0.25">
      <c r="A12" s="1" t="s">
        <v>62</v>
      </c>
      <c r="B12" s="1" t="s">
        <v>68</v>
      </c>
      <c r="C12" s="1" t="s">
        <v>67</v>
      </c>
      <c r="D12" s="1" t="s">
        <v>66</v>
      </c>
      <c r="E12" s="1" t="s">
        <v>58</v>
      </c>
    </row>
    <row r="13" spans="1:5" ht="25.5" x14ac:dyDescent="0.25">
      <c r="A13" s="2" t="s">
        <v>62</v>
      </c>
      <c r="B13" s="2" t="s">
        <v>65</v>
      </c>
      <c r="C13" s="2" t="s">
        <v>64</v>
      </c>
      <c r="D13" s="2" t="s">
        <v>63</v>
      </c>
      <c r="E13" s="2" t="s">
        <v>58</v>
      </c>
    </row>
    <row r="14" spans="1:5" ht="25.5" x14ac:dyDescent="0.25">
      <c r="A14" s="1" t="s">
        <v>62</v>
      </c>
      <c r="B14" s="1" t="s">
        <v>61</v>
      </c>
      <c r="C14" s="1" t="s">
        <v>60</v>
      </c>
      <c r="D14" s="1" t="s">
        <v>59</v>
      </c>
      <c r="E14" s="1" t="s">
        <v>58</v>
      </c>
    </row>
    <row r="15" spans="1:5" ht="25.5" x14ac:dyDescent="0.25">
      <c r="A15" s="2" t="s">
        <v>38</v>
      </c>
      <c r="B15" s="2" t="s">
        <v>57</v>
      </c>
      <c r="C15" s="2" t="s">
        <v>56</v>
      </c>
      <c r="D15" s="2" t="s">
        <v>55</v>
      </c>
      <c r="E15" s="2" t="s">
        <v>45</v>
      </c>
    </row>
    <row r="16" spans="1:5" ht="25.5" x14ac:dyDescent="0.25">
      <c r="A16" s="1" t="s">
        <v>38</v>
      </c>
      <c r="B16" s="1" t="s">
        <v>54</v>
      </c>
      <c r="C16" s="1" t="s">
        <v>53</v>
      </c>
      <c r="D16" s="1" t="s">
        <v>52</v>
      </c>
      <c r="E16" s="1" t="s">
        <v>45</v>
      </c>
    </row>
    <row r="17" spans="1:5" ht="25.5" x14ac:dyDescent="0.25">
      <c r="A17" s="2" t="s">
        <v>38</v>
      </c>
      <c r="B17" s="2" t="s">
        <v>51</v>
      </c>
      <c r="C17" s="2" t="s">
        <v>50</v>
      </c>
      <c r="D17" s="2" t="s">
        <v>49</v>
      </c>
      <c r="E17" s="2" t="s">
        <v>45</v>
      </c>
    </row>
    <row r="18" spans="1:5" ht="25.5" x14ac:dyDescent="0.25">
      <c r="A18" s="1" t="s">
        <v>38</v>
      </c>
      <c r="B18" s="1" t="s">
        <v>48</v>
      </c>
      <c r="C18" s="1" t="s">
        <v>47</v>
      </c>
      <c r="D18" s="1" t="s">
        <v>46</v>
      </c>
      <c r="E18" s="1" t="s">
        <v>45</v>
      </c>
    </row>
    <row r="19" spans="1:5" x14ac:dyDescent="0.25">
      <c r="A19" s="2" t="s">
        <v>38</v>
      </c>
      <c r="B19" s="2" t="s">
        <v>44</v>
      </c>
      <c r="C19" s="2" t="s">
        <v>43</v>
      </c>
      <c r="D19" s="2" t="s">
        <v>42</v>
      </c>
      <c r="E19" s="2"/>
    </row>
    <row r="20" spans="1:5" x14ac:dyDescent="0.25">
      <c r="A20" s="1" t="s">
        <v>38</v>
      </c>
      <c r="B20" s="1" t="s">
        <v>41</v>
      </c>
      <c r="C20" s="1" t="s">
        <v>40</v>
      </c>
      <c r="D20" s="1" t="s">
        <v>39</v>
      </c>
      <c r="E20" s="1"/>
    </row>
    <row r="21" spans="1:5" x14ac:dyDescent="0.25">
      <c r="A21" s="2" t="s">
        <v>38</v>
      </c>
      <c r="B21" s="2" t="s">
        <v>37</v>
      </c>
      <c r="C21" s="2" t="s">
        <v>36</v>
      </c>
      <c r="D21" s="2" t="s">
        <v>35</v>
      </c>
      <c r="E21" s="2"/>
    </row>
    <row r="22" spans="1:5" x14ac:dyDescent="0.25">
      <c r="A22" s="1" t="s">
        <v>25</v>
      </c>
      <c r="B22" s="1" t="s">
        <v>34</v>
      </c>
      <c r="C22" s="1" t="s">
        <v>33</v>
      </c>
      <c r="D22" s="1" t="s">
        <v>32</v>
      </c>
      <c r="E22" s="1"/>
    </row>
    <row r="23" spans="1:5" x14ac:dyDescent="0.25">
      <c r="A23" s="2" t="s">
        <v>25</v>
      </c>
      <c r="B23" s="2" t="s">
        <v>31</v>
      </c>
      <c r="C23" s="2" t="s">
        <v>30</v>
      </c>
      <c r="D23" s="2" t="s">
        <v>29</v>
      </c>
      <c r="E23" s="2"/>
    </row>
    <row r="24" spans="1:5" ht="38.25" x14ac:dyDescent="0.25">
      <c r="A24" s="1" t="s">
        <v>25</v>
      </c>
      <c r="B24" s="1" t="s">
        <v>28</v>
      </c>
      <c r="C24" s="1" t="s">
        <v>27</v>
      </c>
      <c r="D24" s="1" t="s">
        <v>26</v>
      </c>
      <c r="E24" s="1"/>
    </row>
    <row r="25" spans="1:5" ht="25.5" x14ac:dyDescent="0.25">
      <c r="A25" s="2" t="s">
        <v>25</v>
      </c>
      <c r="B25" s="2" t="s">
        <v>24</v>
      </c>
      <c r="C25" s="2" t="s">
        <v>23</v>
      </c>
      <c r="D25" s="2" t="s">
        <v>22</v>
      </c>
      <c r="E25" s="2"/>
    </row>
    <row r="26" spans="1:5" x14ac:dyDescent="0.25">
      <c r="A26" s="1" t="s">
        <v>3</v>
      </c>
      <c r="B26" s="1" t="s">
        <v>21</v>
      </c>
      <c r="C26" s="1" t="s">
        <v>20</v>
      </c>
      <c r="D26" s="1" t="s">
        <v>19</v>
      </c>
      <c r="E26" s="1"/>
    </row>
    <row r="27" spans="1:5" x14ac:dyDescent="0.25">
      <c r="A27" s="2" t="s">
        <v>3</v>
      </c>
      <c r="B27" s="2" t="s">
        <v>18</v>
      </c>
      <c r="C27" s="2" t="s">
        <v>17</v>
      </c>
      <c r="D27" s="2" t="s">
        <v>16</v>
      </c>
      <c r="E27" s="2"/>
    </row>
    <row r="28" spans="1:5" x14ac:dyDescent="0.25">
      <c r="A28" s="1" t="s">
        <v>3</v>
      </c>
      <c r="B28" s="1" t="s">
        <v>15</v>
      </c>
      <c r="C28" s="1" t="s">
        <v>14</v>
      </c>
      <c r="D28" s="1" t="s">
        <v>13</v>
      </c>
      <c r="E28" s="1"/>
    </row>
    <row r="29" spans="1:5" x14ac:dyDescent="0.25">
      <c r="A29" s="2" t="s">
        <v>3</v>
      </c>
      <c r="B29" s="2" t="s">
        <v>12</v>
      </c>
      <c r="C29" s="2" t="s">
        <v>11</v>
      </c>
      <c r="D29" s="2" t="s">
        <v>10</v>
      </c>
      <c r="E29" s="2"/>
    </row>
    <row r="30" spans="1:5" x14ac:dyDescent="0.25">
      <c r="A30" s="1" t="s">
        <v>3</v>
      </c>
      <c r="B30" s="1" t="s">
        <v>9</v>
      </c>
      <c r="C30" s="1" t="s">
        <v>8</v>
      </c>
      <c r="D30" s="1" t="s">
        <v>7</v>
      </c>
      <c r="E30" s="1"/>
    </row>
    <row r="31" spans="1:5" x14ac:dyDescent="0.25">
      <c r="A31" s="2" t="s">
        <v>3</v>
      </c>
      <c r="B31" s="2" t="s">
        <v>6</v>
      </c>
      <c r="C31" s="2" t="s">
        <v>5</v>
      </c>
      <c r="D31" s="2" t="s">
        <v>4</v>
      </c>
      <c r="E31" s="2"/>
    </row>
    <row r="32" spans="1:5" x14ac:dyDescent="0.25">
      <c r="A32" s="1" t="s">
        <v>3</v>
      </c>
      <c r="B32" s="1" t="s">
        <v>2</v>
      </c>
      <c r="C32" s="1" t="s">
        <v>1</v>
      </c>
      <c r="D32" s="1" t="s">
        <v>0</v>
      </c>
      <c r="E32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Start Here</vt:lpstr>
      <vt:lpstr>How It Works</vt:lpstr>
      <vt:lpstr>Schedule</vt:lpstr>
      <vt:lpstr>Project Picker</vt:lpstr>
      <vt:lpstr>Team</vt:lpstr>
      <vt:lpstr>Impact Estimate</vt:lpstr>
      <vt:lpstr>Formula 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Abernatha</dc:creator>
  <cp:lastModifiedBy>Wesley Abernatha</cp:lastModifiedBy>
  <dcterms:created xsi:type="dcterms:W3CDTF">2026-10-01T19:25:35Z</dcterms:created>
  <dcterms:modified xsi:type="dcterms:W3CDTF">2026-10-01T19:28:10Z</dcterms:modified>
</cp:coreProperties>
</file>